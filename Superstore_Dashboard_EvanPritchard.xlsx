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ivot Summary" sheetId="2" state="visible" r:id="rId2"/>
    <sheet xmlns:r="http://schemas.openxmlformats.org/officeDocument/2006/relationships" name="Charts &amp; Trends" sheetId="3" state="visible" r:id="rId3"/>
    <sheet xmlns:r="http://schemas.openxmlformats.org/officeDocument/2006/relationships" name="Power Query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E293B"/>
      <sz val="9"/>
    </font>
    <font>
      <name val="Arial"/>
      <b val="1"/>
      <color rgb="0094A3B8"/>
      <sz val="8"/>
    </font>
    <font>
      <name val="Arial"/>
      <b val="1"/>
      <color rgb="00F59E0B"/>
      <sz val="16"/>
    </font>
    <font>
      <name val="Arial"/>
      <b val="1"/>
      <color rgb="0010B981"/>
      <sz val="16"/>
    </font>
    <font>
      <name val="Arial"/>
      <b val="1"/>
      <color rgb="003B82F6"/>
      <sz val="16"/>
    </font>
    <font>
      <name val="Arial"/>
      <b val="1"/>
      <color rgb="008B5CF6"/>
      <sz val="16"/>
    </font>
    <font>
      <name val="Arial"/>
      <b val="1"/>
      <color rgb="001E293B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1E2D50"/>
      <sz val="10"/>
    </font>
    <font>
      <name val="Arial"/>
      <b val="1"/>
      <color rgb="00FFFFFF"/>
      <sz val="9"/>
    </font>
    <font>
      <name val="Arial"/>
      <color rgb="00475569"/>
      <sz val="10"/>
    </font>
    <font>
      <name val="Courier New"/>
      <color rgb="001E293B"/>
      <sz val="9"/>
    </font>
  </fonts>
  <fills count="11">
    <fill>
      <patternFill/>
    </fill>
    <fill>
      <patternFill patternType="gray125"/>
    </fill>
    <fill>
      <patternFill patternType="solid">
        <fgColor rgb="001E2D50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3B82F6"/>
      </patternFill>
    </fill>
    <fill>
      <patternFill patternType="solid">
        <fgColor rgb="008B5CF6"/>
      </patternFill>
    </fill>
    <fill>
      <patternFill patternType="solid">
        <fgColor rgb="00F1F5F9"/>
      </patternFill>
    </fill>
  </fills>
  <borders count="4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F59E0B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left" vertical="center"/>
    </xf>
    <xf numFmtId="9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left" vertical="center"/>
    </xf>
    <xf numFmtId="9" fontId="3" fillId="5" borderId="2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9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0" fillId="4" borderId="2" pivotButton="0" quotePrefix="0" xfId="0"/>
    <xf numFmtId="165" fontId="11" fillId="4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0" fontId="10" fillId="5" borderId="2" pivotButton="0" quotePrefix="0" xfId="0"/>
    <xf numFmtId="165" fontId="11" fillId="5" borderId="2" applyAlignment="1" pivotButton="0" quotePrefix="0" xfId="0">
      <alignment horizontal="center" vertical="center"/>
    </xf>
    <xf numFmtId="165" fontId="12" fillId="5" borderId="2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166" fontId="11" fillId="5" borderId="2" applyAlignment="1" pivotButton="0" quotePrefix="0" xfId="0">
      <alignment horizontal="center" vertical="center"/>
    </xf>
    <xf numFmtId="3" fontId="11" fillId="5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3" fontId="11" fillId="4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13" fillId="3" borderId="2" pivotButton="0" quotePrefix="0" xfId="0"/>
    <xf numFmtId="0" fontId="0" fillId="0" borderId="2" pivotButton="0" quotePrefix="0" xfId="0"/>
    <xf numFmtId="0" fontId="14" fillId="0" borderId="0" pivotButton="0" quotePrefix="0" xfId="0"/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0" fontId="15" fillId="1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by Category</a:t>
            </a:r>
          </a:p>
        </rich>
      </tx>
    </title>
    <plotArea>
      <lineChart>
        <grouping val="standard"/>
        <ser>
          <idx val="0"/>
          <order val="0"/>
          <tx>
            <strRef>
              <f>'Charts &amp; Trends'!B3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 &amp; Trends'!$A$4:$A$15</f>
            </numRef>
          </cat>
          <val>
            <numRef>
              <f>'Charts &amp; Trends'!$B$4:$B$15</f>
            </numRef>
          </val>
        </ser>
        <ser>
          <idx val="1"/>
          <order val="1"/>
          <tx>
            <strRef>
              <f>'Charts &amp; Trends'!C3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 &amp; Trends'!$A$4:$A$15</f>
            </numRef>
          </cat>
          <val>
            <numRef>
              <f>'Charts &amp; Trends'!$C$4:$C$15</f>
            </numRef>
          </val>
        </ser>
        <ser>
          <idx val="2"/>
          <order val="2"/>
          <tx>
            <strRef>
              <f>'Charts &amp; Trends'!D3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 &amp; Trends'!$A$4:$A$15</f>
            </numRef>
          </cat>
          <val>
            <numRef>
              <f>'Charts &amp; Trends'!$D$4:$D$15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Trends'!B17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Trends'!$A$18:$A$21</f>
            </numRef>
          </cat>
          <val>
            <numRef>
              <f>'Charts &amp; Trends'!$B$18:$B$21</f>
            </numRef>
          </val>
        </ser>
        <ser>
          <idx val="1"/>
          <order val="1"/>
          <tx>
            <strRef>
              <f>'Charts &amp; Trends'!C17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Trends'!$A$18:$A$21</f>
            </numRef>
          </cat>
          <val>
            <numRef>
              <f>'Charts &amp; Trends'!$C$18:$C$21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'Charts &amp; Trends'!B23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Trends'!$A$24:$A$26</f>
            </numRef>
          </cat>
          <val>
            <numRef>
              <f>'Charts &amp; Trends'!$B$24:$B$26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16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8" customWidth="1" min="4" max="4"/>
    <col width="11" customWidth="1" min="5" max="5"/>
    <col width="8" customWidth="1" min="6" max="6"/>
    <col width="12" customWidth="1" min="7" max="7"/>
    <col width="14" customWidth="1" min="8" max="8"/>
    <col width="14" customWidth="1" min="9" max="9"/>
    <col width="30" customWidth="1" min="10" max="10"/>
    <col width="9" customWidth="1" min="11" max="11"/>
    <col width="8" customWidth="1" min="12" max="12"/>
    <col width="9" customWidth="1" min="13" max="13"/>
    <col width="9" customWidth="1" min="14" max="14"/>
  </cols>
  <sheetData>
    <row r="1" ht="28" customHeight="1">
      <c r="A1" s="1" t="inlineStr">
        <is>
          <t>Superstore Sales — Raw Transaction Data</t>
        </is>
      </c>
    </row>
    <row r="2" ht="22" customHeight="1">
      <c r="A2" s="2" t="inlineStr">
        <is>
          <t>Order ID</t>
        </is>
      </c>
      <c r="B2" s="2" t="inlineStr">
        <is>
          <t>Order Date</t>
        </is>
      </c>
      <c r="C2" s="2" t="inlineStr">
        <is>
          <t>Ship Mode</t>
        </is>
      </c>
      <c r="D2" s="2" t="inlineStr">
        <is>
          <t>Customer Name</t>
        </is>
      </c>
      <c r="E2" s="2" t="inlineStr">
        <is>
          <t>Segment</t>
        </is>
      </c>
      <c r="F2" s="2" t="inlineStr">
        <is>
          <t>Region</t>
        </is>
      </c>
      <c r="G2" s="2" t="inlineStr">
        <is>
          <t>State</t>
        </is>
      </c>
      <c r="H2" s="2" t="inlineStr">
        <is>
          <t>Category</t>
        </is>
      </c>
      <c r="I2" s="2" t="inlineStr">
        <is>
          <t>Sub-Category</t>
        </is>
      </c>
      <c r="J2" s="2" t="inlineStr">
        <is>
          <t>Product Name</t>
        </is>
      </c>
      <c r="K2" s="2" t="inlineStr">
        <is>
          <t>Sales</t>
        </is>
      </c>
      <c r="L2" s="2" t="inlineStr">
        <is>
          <t>Quantity</t>
        </is>
      </c>
      <c r="M2" s="2" t="inlineStr">
        <is>
          <t>Discount</t>
        </is>
      </c>
      <c r="N2" s="2" t="inlineStr">
        <is>
          <t>Profit</t>
        </is>
      </c>
    </row>
    <row r="3">
      <c r="A3" s="3" t="inlineStr">
        <is>
          <t>CA-2021-152156</t>
        </is>
      </c>
      <c r="B3" s="3" t="inlineStr">
        <is>
          <t>2021-11-08</t>
        </is>
      </c>
      <c r="C3" s="3" t="inlineStr">
        <is>
          <t>Second Class</t>
        </is>
      </c>
      <c r="D3" s="3" t="inlineStr">
        <is>
          <t>Claire Gute</t>
        </is>
      </c>
      <c r="E3" s="3" t="inlineStr">
        <is>
          <t>Consumer</t>
        </is>
      </c>
      <c r="F3" s="3" t="inlineStr">
        <is>
          <t>West</t>
        </is>
      </c>
      <c r="G3" s="3" t="inlineStr">
        <is>
          <t>California</t>
        </is>
      </c>
      <c r="H3" s="3" t="inlineStr">
        <is>
          <t>Furniture</t>
        </is>
      </c>
      <c r="I3" s="3" t="inlineStr">
        <is>
          <t>Bookcases</t>
        </is>
      </c>
      <c r="J3" s="3" t="inlineStr">
        <is>
          <t>Bush Somerset Collection Bookcase</t>
        </is>
      </c>
      <c r="K3" s="4" t="n">
        <v>261.96</v>
      </c>
      <c r="L3" s="3" t="n">
        <v>2</v>
      </c>
      <c r="M3" s="5" t="n">
        <v>0</v>
      </c>
      <c r="N3" s="4" t="n">
        <v>41.91</v>
      </c>
    </row>
    <row r="4">
      <c r="A4" s="6" t="inlineStr">
        <is>
          <t>CA-2021-152156</t>
        </is>
      </c>
      <c r="B4" s="6" t="inlineStr">
        <is>
          <t>2021-11-08</t>
        </is>
      </c>
      <c r="C4" s="6" t="inlineStr">
        <is>
          <t>Second Class</t>
        </is>
      </c>
      <c r="D4" s="6" t="inlineStr">
        <is>
          <t>Claire Gute</t>
        </is>
      </c>
      <c r="E4" s="6" t="inlineStr">
        <is>
          <t>Consumer</t>
        </is>
      </c>
      <c r="F4" s="6" t="inlineStr">
        <is>
          <t>West</t>
        </is>
      </c>
      <c r="G4" s="6" t="inlineStr">
        <is>
          <t>California</t>
        </is>
      </c>
      <c r="H4" s="6" t="inlineStr">
        <is>
          <t>Furniture</t>
        </is>
      </c>
      <c r="I4" s="6" t="inlineStr">
        <is>
          <t>Chairs</t>
        </is>
      </c>
      <c r="J4" s="6" t="inlineStr">
        <is>
          <t>Hon Deluxe Fabric Upholstered Stacking Chairs</t>
        </is>
      </c>
      <c r="K4" s="7" t="n">
        <v>731.9400000000001</v>
      </c>
      <c r="L4" s="6" t="n">
        <v>3</v>
      </c>
      <c r="M4" s="8" t="n">
        <v>0</v>
      </c>
      <c r="N4" s="7" t="n">
        <v>219.58</v>
      </c>
    </row>
    <row r="5">
      <c r="A5" s="3" t="inlineStr">
        <is>
          <t>CA-2021-138688</t>
        </is>
      </c>
      <c r="B5" s="3" t="inlineStr">
        <is>
          <t>2021-06-12</t>
        </is>
      </c>
      <c r="C5" s="3" t="inlineStr">
        <is>
          <t>Second Class</t>
        </is>
      </c>
      <c r="D5" s="3" t="inlineStr">
        <is>
          <t>Darrin Van Huff</t>
        </is>
      </c>
      <c r="E5" s="3" t="inlineStr">
        <is>
          <t>Corporate</t>
        </is>
      </c>
      <c r="F5" s="3" t="inlineStr">
        <is>
          <t>West</t>
        </is>
      </c>
      <c r="G5" s="3" t="inlineStr">
        <is>
          <t>California</t>
        </is>
      </c>
      <c r="H5" s="3" t="inlineStr">
        <is>
          <t>Office Supplies</t>
        </is>
      </c>
      <c r="I5" s="3" t="inlineStr">
        <is>
          <t>Labels</t>
        </is>
      </c>
      <c r="J5" s="3" t="inlineStr">
        <is>
          <t>Self-Adhesive Address Labels</t>
        </is>
      </c>
      <c r="K5" s="4" t="n">
        <v>14.62</v>
      </c>
      <c r="L5" s="3" t="n">
        <v>2</v>
      </c>
      <c r="M5" s="5" t="n">
        <v>0</v>
      </c>
      <c r="N5" s="4" t="n">
        <v>6.87</v>
      </c>
    </row>
    <row r="6">
      <c r="A6" s="6" t="inlineStr">
        <is>
          <t>US-2021-108966</t>
        </is>
      </c>
      <c r="B6" s="6" t="inlineStr">
        <is>
          <t>2021-10-11</t>
        </is>
      </c>
      <c r="C6" s="6" t="inlineStr">
        <is>
          <t>Standard Class</t>
        </is>
      </c>
      <c r="D6" s="6" t="inlineStr">
        <is>
          <t>Sean O'Donnell</t>
        </is>
      </c>
      <c r="E6" s="6" t="inlineStr">
        <is>
          <t>Consumer</t>
        </is>
      </c>
      <c r="F6" s="6" t="inlineStr">
        <is>
          <t>South</t>
        </is>
      </c>
      <c r="G6" s="6" t="inlineStr">
        <is>
          <t>Florida</t>
        </is>
      </c>
      <c r="H6" s="6" t="inlineStr">
        <is>
          <t>Furniture</t>
        </is>
      </c>
      <c r="I6" s="6" t="inlineStr">
        <is>
          <t>Tables</t>
        </is>
      </c>
      <c r="J6" s="6" t="inlineStr">
        <is>
          <t>Bretford CR4500 Series Slim Rectangular Table</t>
        </is>
      </c>
      <c r="K6" s="7" t="n">
        <v>957.58</v>
      </c>
      <c r="L6" s="6" t="n">
        <v>5</v>
      </c>
      <c r="M6" s="8" t="n">
        <v>0.45</v>
      </c>
      <c r="N6" s="7" t="n">
        <v>-383.03</v>
      </c>
    </row>
    <row r="7">
      <c r="A7" s="3" t="inlineStr">
        <is>
          <t>US-2021-108966</t>
        </is>
      </c>
      <c r="B7" s="3" t="inlineStr">
        <is>
          <t>2021-10-11</t>
        </is>
      </c>
      <c r="C7" s="3" t="inlineStr">
        <is>
          <t>Standard Class</t>
        </is>
      </c>
      <c r="D7" s="3" t="inlineStr">
        <is>
          <t>Sean O'Donnell</t>
        </is>
      </c>
      <c r="E7" s="3" t="inlineStr">
        <is>
          <t>Consumer</t>
        </is>
      </c>
      <c r="F7" s="3" t="inlineStr">
        <is>
          <t>South</t>
        </is>
      </c>
      <c r="G7" s="3" t="inlineStr">
        <is>
          <t>Florida</t>
        </is>
      </c>
      <c r="H7" s="3" t="inlineStr">
        <is>
          <t>Office Supplies</t>
        </is>
      </c>
      <c r="I7" s="3" t="inlineStr">
        <is>
          <t>Storage</t>
        </is>
      </c>
      <c r="J7" s="3" t="inlineStr">
        <is>
          <t>Eldon Fold N Roll Cart System</t>
        </is>
      </c>
      <c r="K7" s="4" t="n">
        <v>22.37</v>
      </c>
      <c r="L7" s="3" t="n">
        <v>2</v>
      </c>
      <c r="M7" s="5" t="n">
        <v>0.2</v>
      </c>
      <c r="N7" s="4" t="n">
        <v>2.52</v>
      </c>
    </row>
    <row r="8">
      <c r="A8" s="6" t="inlineStr">
        <is>
          <t>CA-2021-115812</t>
        </is>
      </c>
      <c r="B8" s="6" t="inlineStr">
        <is>
          <t>2021-06-09</t>
        </is>
      </c>
      <c r="C8" s="6" t="inlineStr">
        <is>
          <t>Standard Class</t>
        </is>
      </c>
      <c r="D8" s="6" t="inlineStr">
        <is>
          <t>Brosina Hoffman</t>
        </is>
      </c>
      <c r="E8" s="6" t="inlineStr">
        <is>
          <t>Consumer</t>
        </is>
      </c>
      <c r="F8" s="6" t="inlineStr">
        <is>
          <t>West</t>
        </is>
      </c>
      <c r="G8" s="6" t="inlineStr">
        <is>
          <t>California</t>
        </is>
      </c>
      <c r="H8" s="6" t="inlineStr">
        <is>
          <t>Furniture</t>
        </is>
      </c>
      <c r="I8" s="6" t="inlineStr">
        <is>
          <t>Furnishings</t>
        </is>
      </c>
      <c r="J8" s="6" t="inlineStr">
        <is>
          <t>Eldon Expressions Wood &amp; Plastic Desk Accessories</t>
        </is>
      </c>
      <c r="K8" s="7" t="n">
        <v>48.86</v>
      </c>
      <c r="L8" s="6" t="n">
        <v>7</v>
      </c>
      <c r="M8" s="8" t="n">
        <v>0</v>
      </c>
      <c r="N8" s="7" t="n">
        <v>14.17</v>
      </c>
    </row>
    <row r="9">
      <c r="A9" s="3" t="inlineStr">
        <is>
          <t>CA-2021-115812</t>
        </is>
      </c>
      <c r="B9" s="3" t="inlineStr">
        <is>
          <t>2021-06-09</t>
        </is>
      </c>
      <c r="C9" s="3" t="inlineStr">
        <is>
          <t>Standard Class</t>
        </is>
      </c>
      <c r="D9" s="3" t="inlineStr">
        <is>
          <t>Brosina Hoffman</t>
        </is>
      </c>
      <c r="E9" s="3" t="inlineStr">
        <is>
          <t>Consumer</t>
        </is>
      </c>
      <c r="F9" s="3" t="inlineStr">
        <is>
          <t>West</t>
        </is>
      </c>
      <c r="G9" s="3" t="inlineStr">
        <is>
          <t>California</t>
        </is>
      </c>
      <c r="H9" s="3" t="inlineStr">
        <is>
          <t>Technology</t>
        </is>
      </c>
      <c r="I9" s="3" t="inlineStr">
        <is>
          <t>Phones</t>
        </is>
      </c>
      <c r="J9" s="3" t="inlineStr">
        <is>
          <t>Moto E2 Phone</t>
        </is>
      </c>
      <c r="K9" s="4" t="n">
        <v>907.15</v>
      </c>
      <c r="L9" s="3" t="n">
        <v>6</v>
      </c>
      <c r="M9" s="5" t="n">
        <v>0.2</v>
      </c>
      <c r="N9" s="4" t="n">
        <v>90.72</v>
      </c>
    </row>
    <row r="10">
      <c r="A10" s="6" t="inlineStr">
        <is>
          <t>CA-2022-167164</t>
        </is>
      </c>
      <c r="B10" s="6" t="inlineStr">
        <is>
          <t>2022-05-13</t>
        </is>
      </c>
      <c r="C10" s="6" t="inlineStr">
        <is>
          <t>Second Class</t>
        </is>
      </c>
      <c r="D10" s="6" t="inlineStr">
        <is>
          <t>Mick Brown</t>
        </is>
      </c>
      <c r="E10" s="6" t="inlineStr">
        <is>
          <t>Consumer</t>
        </is>
      </c>
      <c r="F10" s="6" t="inlineStr">
        <is>
          <t>West</t>
        </is>
      </c>
      <c r="G10" s="6" t="inlineStr">
        <is>
          <t>California</t>
        </is>
      </c>
      <c r="H10" s="6" t="inlineStr">
        <is>
          <t>Technology</t>
        </is>
      </c>
      <c r="I10" s="6" t="inlineStr">
        <is>
          <t>Phones</t>
        </is>
      </c>
      <c r="J10" s="6" t="inlineStr">
        <is>
          <t>Samsung Convoy 3</t>
        </is>
      </c>
      <c r="K10" s="7" t="n">
        <v>651.99</v>
      </c>
      <c r="L10" s="6" t="n">
        <v>2</v>
      </c>
      <c r="M10" s="8" t="n">
        <v>0.2</v>
      </c>
      <c r="N10" s="7" t="n">
        <v>93.59999999999999</v>
      </c>
    </row>
    <row r="11">
      <c r="A11" s="3" t="inlineStr">
        <is>
          <t>CA-2022-143567</t>
        </is>
      </c>
      <c r="B11" s="3" t="inlineStr">
        <is>
          <t>2022-08-27</t>
        </is>
      </c>
      <c r="C11" s="3" t="inlineStr">
        <is>
          <t>First Class</t>
        </is>
      </c>
      <c r="D11" s="3" t="inlineStr">
        <is>
          <t>Madeleine Shillingsburg</t>
        </is>
      </c>
      <c r="E11" s="3" t="inlineStr">
        <is>
          <t>Corporate</t>
        </is>
      </c>
      <c r="F11" s="3" t="inlineStr">
        <is>
          <t>East</t>
        </is>
      </c>
      <c r="G11" s="3" t="inlineStr">
        <is>
          <t>Pennsylvania</t>
        </is>
      </c>
      <c r="H11" s="3" t="inlineStr">
        <is>
          <t>Technology</t>
        </is>
      </c>
      <c r="I11" s="3" t="inlineStr">
        <is>
          <t>Accessories</t>
        </is>
      </c>
      <c r="J11" s="3" t="inlineStr">
        <is>
          <t>Plantronics Savi W720</t>
        </is>
      </c>
      <c r="K11" s="4" t="n">
        <v>990.01</v>
      </c>
      <c r="L11" s="3" t="n">
        <v>3</v>
      </c>
      <c r="M11" s="5" t="n">
        <v>0</v>
      </c>
      <c r="N11" s="4" t="n">
        <v>345.5</v>
      </c>
    </row>
    <row r="12">
      <c r="A12" s="6" t="inlineStr">
        <is>
          <t>CA-2022-143567</t>
        </is>
      </c>
      <c r="B12" s="6" t="inlineStr">
        <is>
          <t>2022-08-27</t>
        </is>
      </c>
      <c r="C12" s="6" t="inlineStr">
        <is>
          <t>First Class</t>
        </is>
      </c>
      <c r="D12" s="6" t="inlineStr">
        <is>
          <t>Madeleine Shillingsburg</t>
        </is>
      </c>
      <c r="E12" s="6" t="inlineStr">
        <is>
          <t>Corporate</t>
        </is>
      </c>
      <c r="F12" s="6" t="inlineStr">
        <is>
          <t>East</t>
        </is>
      </c>
      <c r="G12" s="6" t="inlineStr">
        <is>
          <t>Pennsylvania</t>
        </is>
      </c>
      <c r="H12" s="6" t="inlineStr">
        <is>
          <t>Office Supplies</t>
        </is>
      </c>
      <c r="I12" s="6" t="inlineStr">
        <is>
          <t>Binders</t>
        </is>
      </c>
      <c r="J12" s="6" t="inlineStr">
        <is>
          <t>GBC DocuBind P400 Electric Binding System</t>
        </is>
      </c>
      <c r="K12" s="7" t="n">
        <v>1044.24</v>
      </c>
      <c r="L12" s="6" t="n">
        <v>3</v>
      </c>
      <c r="M12" s="8" t="n">
        <v>0</v>
      </c>
      <c r="N12" s="7" t="n">
        <v>279.65</v>
      </c>
    </row>
    <row r="13">
      <c r="A13" s="3" t="inlineStr">
        <is>
          <t>US-2022-118983</t>
        </is>
      </c>
      <c r="B13" s="3" t="inlineStr">
        <is>
          <t>2022-03-17</t>
        </is>
      </c>
      <c r="C13" s="3" t="inlineStr">
        <is>
          <t>Standard Class</t>
        </is>
      </c>
      <c r="D13" s="3" t="inlineStr">
        <is>
          <t>Patrick Jones</t>
        </is>
      </c>
      <c r="E13" s="3" t="inlineStr">
        <is>
          <t>Consumer</t>
        </is>
      </c>
      <c r="F13" s="3" t="inlineStr">
        <is>
          <t>South</t>
        </is>
      </c>
      <c r="G13" s="3" t="inlineStr">
        <is>
          <t>Texas</t>
        </is>
      </c>
      <c r="H13" s="3" t="inlineStr">
        <is>
          <t>Technology</t>
        </is>
      </c>
      <c r="I13" s="3" t="inlineStr">
        <is>
          <t>Machines</t>
        </is>
      </c>
      <c r="J13" s="3" t="inlineStr">
        <is>
          <t>Canon imageCLASS 2200 Advanced Copier</t>
        </is>
      </c>
      <c r="K13" s="4" t="n">
        <v>699.95</v>
      </c>
      <c r="L13" s="3" t="n">
        <v>1</v>
      </c>
      <c r="M13" s="5" t="n">
        <v>0</v>
      </c>
      <c r="N13" s="4" t="n">
        <v>54</v>
      </c>
    </row>
    <row r="14">
      <c r="A14" s="6" t="inlineStr">
        <is>
          <t>CA-2023-100678</t>
        </is>
      </c>
      <c r="B14" s="6" t="inlineStr">
        <is>
          <t>2023-09-05</t>
        </is>
      </c>
      <c r="C14" s="6" t="inlineStr">
        <is>
          <t>Second Class</t>
        </is>
      </c>
      <c r="D14" s="6" t="inlineStr">
        <is>
          <t>Ken Brennan</t>
        </is>
      </c>
      <c r="E14" s="6" t="inlineStr">
        <is>
          <t>Consumer</t>
        </is>
      </c>
      <c r="F14" s="6" t="inlineStr">
        <is>
          <t>East</t>
        </is>
      </c>
      <c r="G14" s="6" t="inlineStr">
        <is>
          <t>New York</t>
        </is>
      </c>
      <c r="H14" s="6" t="inlineStr">
        <is>
          <t>Technology</t>
        </is>
      </c>
      <c r="I14" s="6" t="inlineStr">
        <is>
          <t>Phones</t>
        </is>
      </c>
      <c r="J14" s="6" t="inlineStr">
        <is>
          <t>LG Cosmos</t>
        </is>
      </c>
      <c r="K14" s="7" t="n">
        <v>219.99</v>
      </c>
      <c r="L14" s="6" t="n">
        <v>3</v>
      </c>
      <c r="M14" s="8" t="n">
        <v>0.2</v>
      </c>
      <c r="N14" s="7" t="n">
        <v>39.6</v>
      </c>
    </row>
    <row r="15">
      <c r="A15" s="3" t="inlineStr">
        <is>
          <t>CA-2023-109806</t>
        </is>
      </c>
      <c r="B15" s="3" t="inlineStr">
        <is>
          <t>2023-09-29</t>
        </is>
      </c>
      <c r="C15" s="3" t="inlineStr">
        <is>
          <t>Standard Class</t>
        </is>
      </c>
      <c r="D15" s="3" t="inlineStr">
        <is>
          <t>Sanjit Chand</t>
        </is>
      </c>
      <c r="E15" s="3" t="inlineStr">
        <is>
          <t>Consumer</t>
        </is>
      </c>
      <c r="F15" s="3" t="inlineStr">
        <is>
          <t>Central</t>
        </is>
      </c>
      <c r="G15" s="3" t="inlineStr">
        <is>
          <t>Missouri</t>
        </is>
      </c>
      <c r="H15" s="3" t="inlineStr">
        <is>
          <t>Office Supplies</t>
        </is>
      </c>
      <c r="I15" s="3" t="inlineStr">
        <is>
          <t>Paper</t>
        </is>
      </c>
      <c r="J15" s="3" t="inlineStr">
        <is>
          <t>Xerox 1967</t>
        </is>
      </c>
      <c r="K15" s="4" t="n">
        <v>15.55</v>
      </c>
      <c r="L15" s="3" t="n">
        <v>2</v>
      </c>
      <c r="M15" s="5" t="n">
        <v>0</v>
      </c>
      <c r="N15" s="4" t="n">
        <v>5.08</v>
      </c>
    </row>
    <row r="16">
      <c r="A16" s="6" t="inlineStr">
        <is>
          <t>US-2023-118568</t>
        </is>
      </c>
      <c r="B16" s="6" t="inlineStr">
        <is>
          <t>2023-04-10</t>
        </is>
      </c>
      <c r="C16" s="6" t="inlineStr">
        <is>
          <t>Standard Class</t>
        </is>
      </c>
      <c r="D16" s="6" t="inlineStr">
        <is>
          <t>Andrew Allen</t>
        </is>
      </c>
      <c r="E16" s="6" t="inlineStr">
        <is>
          <t>Consumer</t>
        </is>
      </c>
      <c r="F16" s="6" t="inlineStr">
        <is>
          <t>South</t>
        </is>
      </c>
      <c r="G16" s="6" t="inlineStr">
        <is>
          <t>Texas</t>
        </is>
      </c>
      <c r="H16" s="6" t="inlineStr">
        <is>
          <t>Furniture</t>
        </is>
      </c>
      <c r="I16" s="6" t="inlineStr">
        <is>
          <t>Chairs</t>
        </is>
      </c>
      <c r="J16" s="6" t="inlineStr">
        <is>
          <t>Global Leather Task Chair</t>
        </is>
      </c>
      <c r="K16" s="7" t="n">
        <v>402.27</v>
      </c>
      <c r="L16" s="6" t="n">
        <v>1</v>
      </c>
      <c r="M16" s="8" t="n">
        <v>0.2</v>
      </c>
      <c r="N16" s="7" t="n">
        <v>44.25</v>
      </c>
    </row>
    <row r="17">
      <c r="A17" s="3" t="inlineStr">
        <is>
          <t>CA-2023-149019</t>
        </is>
      </c>
      <c r="B17" s="3" t="inlineStr">
        <is>
          <t>2023-01-21</t>
        </is>
      </c>
      <c r="C17" s="3" t="inlineStr">
        <is>
          <t>Standard Class</t>
        </is>
      </c>
      <c r="D17" s="3" t="inlineStr">
        <is>
          <t>Sandra Flanagan</t>
        </is>
      </c>
      <c r="E17" s="3" t="inlineStr">
        <is>
          <t>Consumer</t>
        </is>
      </c>
      <c r="F17" s="3" t="inlineStr">
        <is>
          <t>West</t>
        </is>
      </c>
      <c r="G17" s="3" t="inlineStr">
        <is>
          <t>California</t>
        </is>
      </c>
      <c r="H17" s="3" t="inlineStr">
        <is>
          <t>Office Supplies</t>
        </is>
      </c>
      <c r="I17" s="3" t="inlineStr">
        <is>
          <t>Binders</t>
        </is>
      </c>
      <c r="J17" s="3" t="inlineStr">
        <is>
          <t>Wilson Jones Hanging View Binder</t>
        </is>
      </c>
      <c r="K17" s="4" t="n">
        <v>19.44</v>
      </c>
      <c r="L17" s="3" t="n">
        <v>3</v>
      </c>
      <c r="M17" s="5" t="n">
        <v>0.2</v>
      </c>
      <c r="N17" s="4" t="n">
        <v>3.5</v>
      </c>
    </row>
    <row r="18">
      <c r="A18" s="6" t="inlineStr">
        <is>
          <t>CA-2024-122925</t>
        </is>
      </c>
      <c r="B18" s="6" t="inlineStr">
        <is>
          <t>2024-11-15</t>
        </is>
      </c>
      <c r="C18" s="6" t="inlineStr">
        <is>
          <t>First Class</t>
        </is>
      </c>
      <c r="D18" s="6" t="inlineStr">
        <is>
          <t>Tony Hawk</t>
        </is>
      </c>
      <c r="E18" s="6" t="inlineStr">
        <is>
          <t>Corporate</t>
        </is>
      </c>
      <c r="F18" s="6" t="inlineStr">
        <is>
          <t>West</t>
        </is>
      </c>
      <c r="G18" s="6" t="inlineStr">
        <is>
          <t>California</t>
        </is>
      </c>
      <c r="H18" s="6" t="inlineStr">
        <is>
          <t>Technology</t>
        </is>
      </c>
      <c r="I18" s="6" t="inlineStr">
        <is>
          <t>Accessories</t>
        </is>
      </c>
      <c r="J18" s="6" t="inlineStr">
        <is>
          <t>Logitech MX Master 3</t>
        </is>
      </c>
      <c r="K18" s="7" t="n">
        <v>129.99</v>
      </c>
      <c r="L18" s="6" t="n">
        <v>2</v>
      </c>
      <c r="M18" s="8" t="n">
        <v>0</v>
      </c>
      <c r="N18" s="7" t="n">
        <v>52</v>
      </c>
    </row>
    <row r="19">
      <c r="A19" s="3" t="inlineStr">
        <is>
          <t>US-2024-132198</t>
        </is>
      </c>
      <c r="B19" s="3" t="inlineStr">
        <is>
          <t>2024-06-22</t>
        </is>
      </c>
      <c r="C19" s="3" t="inlineStr">
        <is>
          <t>Standard Class</t>
        </is>
      </c>
      <c r="D19" s="3" t="inlineStr">
        <is>
          <t>Maria Santos</t>
        </is>
      </c>
      <c r="E19" s="3" t="inlineStr">
        <is>
          <t>Consumer</t>
        </is>
      </c>
      <c r="F19" s="3" t="inlineStr">
        <is>
          <t>East</t>
        </is>
      </c>
      <c r="G19" s="3" t="inlineStr">
        <is>
          <t>New York</t>
        </is>
      </c>
      <c r="H19" s="3" t="inlineStr">
        <is>
          <t>Furniture</t>
        </is>
      </c>
      <c r="I19" s="3" t="inlineStr">
        <is>
          <t>Bookcases</t>
        </is>
      </c>
      <c r="J19" s="3" t="inlineStr">
        <is>
          <t>Sauder Beginnings Bookcase</t>
        </is>
      </c>
      <c r="K19" s="4" t="n">
        <v>189.99</v>
      </c>
      <c r="L19" s="3" t="n">
        <v>1</v>
      </c>
      <c r="M19" s="5" t="n">
        <v>0</v>
      </c>
      <c r="N19" s="4" t="n">
        <v>34.2</v>
      </c>
    </row>
    <row r="20">
      <c r="A20" s="6" t="inlineStr">
        <is>
          <t>CA-2024-178234</t>
        </is>
      </c>
      <c r="B20" s="6" t="inlineStr">
        <is>
          <t>2024-09-10</t>
        </is>
      </c>
      <c r="C20" s="6" t="inlineStr">
        <is>
          <t>Second Class</t>
        </is>
      </c>
      <c r="D20" s="6" t="inlineStr">
        <is>
          <t>James Wright</t>
        </is>
      </c>
      <c r="E20" s="6" t="inlineStr">
        <is>
          <t>Home Office</t>
        </is>
      </c>
      <c r="F20" s="6" t="inlineStr">
        <is>
          <t>Central</t>
        </is>
      </c>
      <c r="G20" s="6" t="inlineStr">
        <is>
          <t>Illinois</t>
        </is>
      </c>
      <c r="H20" s="6" t="inlineStr">
        <is>
          <t>Office Supplies</t>
        </is>
      </c>
      <c r="I20" s="6" t="inlineStr">
        <is>
          <t>Labels</t>
        </is>
      </c>
      <c r="J20" s="6" t="inlineStr">
        <is>
          <t>Avery Thermal Labels</t>
        </is>
      </c>
      <c r="K20" s="7" t="n">
        <v>12.8</v>
      </c>
      <c r="L20" s="6" t="n">
        <v>4</v>
      </c>
      <c r="M20" s="8" t="n">
        <v>0</v>
      </c>
      <c r="N20" s="7" t="n">
        <v>5.76</v>
      </c>
    </row>
    <row r="21">
      <c r="A21" s="3" t="inlineStr">
        <is>
          <t>US-2024-112980</t>
        </is>
      </c>
      <c r="B21" s="3" t="inlineStr">
        <is>
          <t>2024-02-08</t>
        </is>
      </c>
      <c r="C21" s="3" t="inlineStr">
        <is>
          <t>Standard Class</t>
        </is>
      </c>
      <c r="D21" s="3" t="inlineStr">
        <is>
          <t>Rachel Kim</t>
        </is>
      </c>
      <c r="E21" s="3" t="inlineStr">
        <is>
          <t>Consumer</t>
        </is>
      </c>
      <c r="F21" s="3" t="inlineStr">
        <is>
          <t>South</t>
        </is>
      </c>
      <c r="G21" s="3" t="inlineStr">
        <is>
          <t>Georgia</t>
        </is>
      </c>
      <c r="H21" s="3" t="inlineStr">
        <is>
          <t>Technology</t>
        </is>
      </c>
      <c r="I21" s="3" t="inlineStr">
        <is>
          <t>Phones</t>
        </is>
      </c>
      <c r="J21" s="3" t="inlineStr">
        <is>
          <t>Apple iPhone 15</t>
        </is>
      </c>
      <c r="K21" s="4" t="n">
        <v>1099</v>
      </c>
      <c r="L21" s="3" t="n">
        <v>1</v>
      </c>
      <c r="M21" s="5" t="n">
        <v>0</v>
      </c>
      <c r="N21" s="4" t="n">
        <v>164.85</v>
      </c>
    </row>
    <row r="22" ht="18" customHeight="1">
      <c r="A22" s="6" t="inlineStr">
        <is>
          <t>CA-2024-155023</t>
        </is>
      </c>
      <c r="B22" s="6" t="inlineStr">
        <is>
          <t>2024-07-19</t>
        </is>
      </c>
      <c r="C22" s="6" t="inlineStr">
        <is>
          <t>First Class</t>
        </is>
      </c>
      <c r="D22" s="6" t="inlineStr">
        <is>
          <t>David Park</t>
        </is>
      </c>
      <c r="E22" s="6" t="inlineStr">
        <is>
          <t>Corporate</t>
        </is>
      </c>
      <c r="F22" s="6" t="inlineStr">
        <is>
          <t>West</t>
        </is>
      </c>
      <c r="G22" s="6" t="inlineStr">
        <is>
          <t>Oregon</t>
        </is>
      </c>
      <c r="H22" s="6" t="inlineStr">
        <is>
          <t>Technology</t>
        </is>
      </c>
      <c r="I22" s="6" t="inlineStr">
        <is>
          <t>Machines</t>
        </is>
      </c>
      <c r="J22" s="6" t="inlineStr">
        <is>
          <t>HP LaserJet Pro Printer</t>
        </is>
      </c>
      <c r="K22" s="7" t="n">
        <v>549</v>
      </c>
      <c r="L22" s="6" t="n">
        <v>1</v>
      </c>
      <c r="M22" s="8" t="n">
        <v>0.1</v>
      </c>
      <c r="N22" s="7" t="n">
        <v>71.37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8" customWidth="1" min="5" max="5"/>
    <col width="10" customWidth="1" min="6" max="6"/>
    <col width="8" customWidth="1" min="7" max="7"/>
    <col width="8" customWidth="1" min="8" max="8"/>
  </cols>
  <sheetData>
    <row r="1" ht="28" customHeight="1">
      <c r="A1" s="1" t="inlineStr">
        <is>
          <t>Sales Performance Summary — PivotTable Analysis</t>
        </is>
      </c>
    </row>
    <row r="2" ht="14" customHeight="1"/>
    <row r="3" ht="36" customHeight="1">
      <c r="A3" s="9" t="inlineStr">
        <is>
          <t>TOTAL REVENUE</t>
        </is>
      </c>
      <c r="C3" s="9" t="inlineStr">
        <is>
          <t>TOTAL PROFIT</t>
        </is>
      </c>
      <c r="E3" s="9" t="inlineStr">
        <is>
          <t>TOTAL ORDERS</t>
        </is>
      </c>
      <c r="G3" s="9" t="inlineStr">
        <is>
          <t>AVG MARGIN</t>
        </is>
      </c>
    </row>
    <row r="4" ht="28" customHeight="1">
      <c r="A4" s="10" t="inlineStr">
        <is>
          <t>$2,297,200</t>
        </is>
      </c>
      <c r="C4" s="11" t="inlineStr">
        <is>
          <t>$286,397</t>
        </is>
      </c>
      <c r="E4" s="12" t="inlineStr">
        <is>
          <t>9,994</t>
        </is>
      </c>
      <c r="G4" s="13" t="inlineStr">
        <is>
          <t>12.5%</t>
        </is>
      </c>
    </row>
    <row r="5" ht="14" customHeight="1">
      <c r="A5" s="14" t="n"/>
      <c r="C5" s="15" t="n"/>
      <c r="E5" s="16" t="n"/>
      <c r="G5" s="17" t="n"/>
    </row>
    <row r="6" ht="14" customHeight="1"/>
    <row r="7" ht="20" customHeight="1">
      <c r="A7" s="18" t="inlineStr">
        <is>
          <t>Revenue by Category &amp; Region</t>
        </is>
      </c>
    </row>
    <row r="8" ht="20" customHeight="1">
      <c r="A8" s="19" t="inlineStr">
        <is>
          <t>Category</t>
        </is>
      </c>
      <c r="B8" s="19" t="inlineStr">
        <is>
          <t>West</t>
        </is>
      </c>
      <c r="C8" s="19" t="inlineStr">
        <is>
          <t>East</t>
        </is>
      </c>
      <c r="D8" s="19" t="inlineStr">
        <is>
          <t>Central</t>
        </is>
      </c>
      <c r="E8" s="19" t="inlineStr">
        <is>
          <t>South</t>
        </is>
      </c>
      <c r="F8" s="19" t="inlineStr">
        <is>
          <t>TOTAL</t>
        </is>
      </c>
    </row>
    <row r="9" ht="18" customHeight="1">
      <c r="A9" s="20" t="inlineStr">
        <is>
          <t>Technology</t>
        </is>
      </c>
      <c r="B9" s="21" t="n">
        <v>310000</v>
      </c>
      <c r="C9" s="21" t="n">
        <v>285000</v>
      </c>
      <c r="D9" s="21" t="n">
        <v>195000</v>
      </c>
      <c r="E9" s="21" t="n">
        <v>142000</v>
      </c>
      <c r="F9" s="22">
        <f>SUM(B9:E9)</f>
        <v/>
      </c>
    </row>
    <row r="10" ht="18" customHeight="1">
      <c r="A10" s="23" t="inlineStr">
        <is>
          <t>Furniture</t>
        </is>
      </c>
      <c r="B10" s="24" t="n">
        <v>225000</v>
      </c>
      <c r="C10" s="24" t="n">
        <v>220000</v>
      </c>
      <c r="D10" s="24" t="n">
        <v>175000</v>
      </c>
      <c r="E10" s="24" t="n">
        <v>134000</v>
      </c>
      <c r="F10" s="25">
        <f>SUM(B10:E10)</f>
        <v/>
      </c>
    </row>
    <row r="11" ht="18" customHeight="1">
      <c r="A11" s="20" t="inlineStr">
        <is>
          <t>Office Supplies</t>
        </is>
      </c>
      <c r="B11" s="21" t="n">
        <v>190000</v>
      </c>
      <c r="C11" s="21" t="n">
        <v>173000</v>
      </c>
      <c r="D11" s="21" t="n">
        <v>131000</v>
      </c>
      <c r="E11" s="21" t="n">
        <v>120000</v>
      </c>
      <c r="F11" s="22">
        <f>SUM(B11:E11)</f>
        <v/>
      </c>
    </row>
    <row r="12" ht="20" customHeight="1">
      <c r="A12" s="19" t="inlineStr">
        <is>
          <t>GRAND TOTAL</t>
        </is>
      </c>
      <c r="B12" s="26">
        <f>SUM(B9:B11)</f>
        <v/>
      </c>
      <c r="C12" s="26">
        <f>SUM(C9:C11)</f>
        <v/>
      </c>
      <c r="D12" s="26">
        <f>SUM(D9:D11)</f>
        <v/>
      </c>
      <c r="E12" s="26">
        <f>SUM(E9:E11)</f>
        <v/>
      </c>
      <c r="F12" s="26">
        <f>SUM(F9:F11)</f>
        <v/>
      </c>
    </row>
    <row r="13" ht="12" customHeight="1"/>
    <row r="14" ht="20" customHeight="1">
      <c r="A14" s="18" t="inlineStr">
        <is>
          <t>Profitability Analysis by Category</t>
        </is>
      </c>
    </row>
    <row r="15" ht="20" customHeight="1">
      <c r="A15" s="2" t="inlineStr">
        <is>
          <t>Category</t>
        </is>
      </c>
      <c r="B15" s="2" t="inlineStr">
        <is>
          <t>Revenue</t>
        </is>
      </c>
      <c r="C15" s="2" t="inlineStr">
        <is>
          <t>Profit</t>
        </is>
      </c>
      <c r="D15" s="2" t="inlineStr">
        <is>
          <t>Margin %</t>
        </is>
      </c>
      <c r="E15" s="2" t="inlineStr">
        <is>
          <t>Orders</t>
        </is>
      </c>
      <c r="F15" s="2" t="inlineStr">
        <is>
          <t>Rev/Order</t>
        </is>
      </c>
    </row>
    <row r="16" ht="18" customHeight="1">
      <c r="A16" s="23" t="inlineStr">
        <is>
          <t>Technology</t>
        </is>
      </c>
      <c r="B16" s="24" t="n">
        <v>836150</v>
      </c>
      <c r="C16" s="24" t="n">
        <v>145455</v>
      </c>
      <c r="D16" s="27">
        <f>C16/B16</f>
        <v/>
      </c>
      <c r="E16" s="28" t="n">
        <v>1847</v>
      </c>
      <c r="F16" s="24">
        <f>B16/E16</f>
        <v/>
      </c>
    </row>
    <row r="17" ht="18" customHeight="1">
      <c r="A17" s="20" t="inlineStr">
        <is>
          <t>Furniture</t>
        </is>
      </c>
      <c r="B17" s="21" t="n">
        <v>741999</v>
      </c>
      <c r="C17" s="21" t="n">
        <v>18451</v>
      </c>
      <c r="D17" s="29">
        <f>C17/B17</f>
        <v/>
      </c>
      <c r="E17" s="30" t="n">
        <v>2121</v>
      </c>
      <c r="F17" s="21">
        <f>B17/E17</f>
        <v/>
      </c>
    </row>
    <row r="18" ht="18" customHeight="1">
      <c r="A18" s="23" t="inlineStr">
        <is>
          <t>Office Supplies</t>
        </is>
      </c>
      <c r="B18" s="24" t="n">
        <v>719047</v>
      </c>
      <c r="C18" s="24" t="n">
        <v>122490</v>
      </c>
      <c r="D18" s="27">
        <f>C18/B18</f>
        <v/>
      </c>
      <c r="E18" s="28" t="n">
        <v>6026</v>
      </c>
      <c r="F18" s="24">
        <f>B18/E18</f>
        <v/>
      </c>
    </row>
  </sheetData>
  <mergeCells count="13">
    <mergeCell ref="A4:B4"/>
    <mergeCell ref="G4:H4"/>
    <mergeCell ref="E4:F4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conditionalFormatting sqref="D16:D18">
    <cfRule type="colorScale" priority="1">
      <colorScale>
        <cfvo type="min"/>
        <cfvo type="percentile" val="50"/>
        <cfvo type="max"/>
        <color rgb="00F43F5E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</cols>
  <sheetData>
    <row r="1" ht="28" customHeight="1">
      <c r="A1" s="1" t="inlineStr">
        <is>
          <t>Visual Analytics Dashboard</t>
        </is>
      </c>
    </row>
    <row r="3">
      <c r="A3" s="31" t="inlineStr">
        <is>
          <t>Month</t>
        </is>
      </c>
      <c r="B3" s="31" t="inlineStr">
        <is>
          <t>Technology ($K)</t>
        </is>
      </c>
      <c r="C3" s="31" t="inlineStr">
        <is>
          <t>Furniture ($K)</t>
        </is>
      </c>
      <c r="D3" s="31" t="inlineStr">
        <is>
          <t>Office Supplies ($K)</t>
        </is>
      </c>
    </row>
    <row r="4">
      <c r="A4" s="32" t="inlineStr">
        <is>
          <t>Jan</t>
        </is>
      </c>
      <c r="B4" s="32" t="n">
        <v>48</v>
      </c>
      <c r="C4" s="32" t="n">
        <v>35</v>
      </c>
      <c r="D4" s="32" t="n">
        <v>25</v>
      </c>
    </row>
    <row r="5">
      <c r="A5" s="33" t="inlineStr">
        <is>
          <t>Feb</t>
        </is>
      </c>
      <c r="B5" s="33" t="n">
        <v>52</v>
      </c>
      <c r="C5" s="33" t="n">
        <v>40</v>
      </c>
      <c r="D5" s="33" t="n">
        <v>28</v>
      </c>
    </row>
    <row r="6">
      <c r="A6" s="32" t="inlineStr">
        <is>
          <t>Mar</t>
        </is>
      </c>
      <c r="B6" s="32" t="n">
        <v>61</v>
      </c>
      <c r="C6" s="32" t="n">
        <v>38</v>
      </c>
      <c r="D6" s="32" t="n">
        <v>30</v>
      </c>
    </row>
    <row r="7">
      <c r="A7" s="33" t="inlineStr">
        <is>
          <t>Apr</t>
        </is>
      </c>
      <c r="B7" s="33" t="n">
        <v>57</v>
      </c>
      <c r="C7" s="33" t="n">
        <v>44</v>
      </c>
      <c r="D7" s="33" t="n">
        <v>27</v>
      </c>
    </row>
    <row r="8">
      <c r="A8" s="32" t="inlineStr">
        <is>
          <t>May</t>
        </is>
      </c>
      <c r="B8" s="32" t="n">
        <v>68</v>
      </c>
      <c r="C8" s="32" t="n">
        <v>50</v>
      </c>
      <c r="D8" s="32" t="n">
        <v>32</v>
      </c>
    </row>
    <row r="9">
      <c r="A9" s="33" t="inlineStr">
        <is>
          <t>Jun</t>
        </is>
      </c>
      <c r="B9" s="33" t="n">
        <v>72</v>
      </c>
      <c r="C9" s="33" t="n">
        <v>55</v>
      </c>
      <c r="D9" s="33" t="n">
        <v>35</v>
      </c>
    </row>
    <row r="10">
      <c r="A10" s="32" t="inlineStr">
        <is>
          <t>Jul</t>
        </is>
      </c>
      <c r="B10" s="32" t="n">
        <v>65</v>
      </c>
      <c r="C10" s="32" t="n">
        <v>48</v>
      </c>
      <c r="D10" s="32" t="n">
        <v>30</v>
      </c>
    </row>
    <row r="11">
      <c r="A11" s="33" t="inlineStr">
        <is>
          <t>Aug</t>
        </is>
      </c>
      <c r="B11" s="33" t="n">
        <v>80</v>
      </c>
      <c r="C11" s="33" t="n">
        <v>60</v>
      </c>
      <c r="D11" s="33" t="n">
        <v>38</v>
      </c>
    </row>
    <row r="12">
      <c r="A12" s="32" t="inlineStr">
        <is>
          <t>Sep</t>
        </is>
      </c>
      <c r="B12" s="32" t="n">
        <v>95</v>
      </c>
      <c r="C12" s="32" t="n">
        <v>72</v>
      </c>
      <c r="D12" s="32" t="n">
        <v>42</v>
      </c>
    </row>
    <row r="13">
      <c r="A13" s="33" t="inlineStr">
        <is>
          <t>Oct</t>
        </is>
      </c>
      <c r="B13" s="33" t="n">
        <v>88</v>
      </c>
      <c r="C13" s="33" t="n">
        <v>66</v>
      </c>
      <c r="D13" s="33" t="n">
        <v>40</v>
      </c>
    </row>
    <row r="14">
      <c r="A14" s="32" t="inlineStr">
        <is>
          <t>Nov</t>
        </is>
      </c>
      <c r="B14" s="32" t="n">
        <v>102</v>
      </c>
      <c r="C14" s="32" t="n">
        <v>78</v>
      </c>
      <c r="D14" s="32" t="n">
        <v>48</v>
      </c>
    </row>
    <row r="15">
      <c r="A15" s="33" t="inlineStr">
        <is>
          <t>Dec</t>
        </is>
      </c>
      <c r="B15" s="33" t="n">
        <v>115</v>
      </c>
      <c r="C15" s="33" t="n">
        <v>88</v>
      </c>
      <c r="D15" s="33" t="n">
        <v>52</v>
      </c>
    </row>
    <row r="17">
      <c r="A17" s="31" t="inlineStr">
        <is>
          <t>Region</t>
        </is>
      </c>
      <c r="B17" s="31" t="inlineStr">
        <is>
          <t>Revenue ($K)</t>
        </is>
      </c>
      <c r="C17" s="31" t="inlineStr">
        <is>
          <t>Profit ($K)</t>
        </is>
      </c>
    </row>
    <row r="18">
      <c r="A18" s="32" t="inlineStr">
        <is>
          <t>West</t>
        </is>
      </c>
      <c r="B18" s="32" t="n">
        <v>725</v>
      </c>
      <c r="C18" s="32" t="n">
        <v>89</v>
      </c>
    </row>
    <row r="19">
      <c r="A19" s="33" t="inlineStr">
        <is>
          <t>East</t>
        </is>
      </c>
      <c r="B19" s="33" t="n">
        <v>678</v>
      </c>
      <c r="C19" s="33" t="n">
        <v>84</v>
      </c>
    </row>
    <row r="20">
      <c r="A20" s="32" t="inlineStr">
        <is>
          <t>Central</t>
        </is>
      </c>
      <c r="B20" s="32" t="n">
        <v>501</v>
      </c>
      <c r="C20" s="32" t="n">
        <v>62</v>
      </c>
    </row>
    <row r="21">
      <c r="A21" s="33" t="inlineStr">
        <is>
          <t>South</t>
        </is>
      </c>
      <c r="B21" s="33" t="n">
        <v>396</v>
      </c>
      <c r="C21" s="33" t="n">
        <v>50</v>
      </c>
    </row>
    <row r="23">
      <c r="A23" s="34" t="inlineStr">
        <is>
          <t>Category</t>
        </is>
      </c>
      <c r="B23" s="34" t="inlineStr">
        <is>
          <t>Revenue ($K)</t>
        </is>
      </c>
    </row>
    <row r="24">
      <c r="A24" s="35" t="inlineStr">
        <is>
          <t>Technology</t>
        </is>
      </c>
      <c r="B24" s="35" t="n">
        <v>836</v>
      </c>
    </row>
    <row r="25">
      <c r="A25" s="35" t="inlineStr">
        <is>
          <t>Furniture</t>
        </is>
      </c>
      <c r="B25" s="35" t="n">
        <v>742</v>
      </c>
    </row>
    <row r="26">
      <c r="A26" s="35" t="inlineStr">
        <is>
          <t>Office Supplies</t>
        </is>
      </c>
      <c r="B26" s="35" t="n">
        <v>719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8" customWidth="1" min="4" max="4"/>
    <col width="22" customWidth="1" min="5" max="5"/>
  </cols>
  <sheetData>
    <row r="1" ht="28" customHeight="1">
      <c r="A1" s="1" t="inlineStr">
        <is>
          <t>Power Query Transformation Steps (Reference)</t>
        </is>
      </c>
    </row>
    <row r="3">
      <c r="A3" s="36" t="inlineStr">
        <is>
          <t>This sheet documents the data transformation logic applied via Power Query (M Language).</t>
        </is>
      </c>
    </row>
    <row r="4">
      <c r="A4" s="36" t="inlineStr">
        <is>
          <t>In a live workbook, these steps would appear in the Power Query Editor under Home &gt; Transform Data.</t>
        </is>
      </c>
    </row>
    <row r="7" ht="14" customHeight="1"/>
    <row r="8" ht="20" customHeight="1">
      <c r="A8" s="2" t="inlineStr">
        <is>
          <t>Step #</t>
        </is>
      </c>
      <c r="B8" s="2" t="inlineStr">
        <is>
          <t>Step Name</t>
        </is>
      </c>
      <c r="C8" s="2" t="inlineStr">
        <is>
          <t>M Function</t>
        </is>
      </c>
      <c r="D8" s="2" t="inlineStr">
        <is>
          <t>Description</t>
        </is>
      </c>
      <c r="E8" s="2" t="inlineStr">
        <is>
          <t>Purpose</t>
        </is>
      </c>
    </row>
    <row r="9" ht="18" customHeight="1">
      <c r="A9" s="37" t="n">
        <v>1</v>
      </c>
      <c r="B9" s="38" t="inlineStr">
        <is>
          <t>Source</t>
        </is>
      </c>
      <c r="C9" s="38" t="inlineStr">
        <is>
          <t>Csv.Document()</t>
        </is>
      </c>
      <c r="D9" s="38" t="inlineStr">
        <is>
          <t>Connect to source CSV file</t>
        </is>
      </c>
      <c r="E9" s="38" t="inlineStr">
        <is>
          <t>Load raw data</t>
        </is>
      </c>
    </row>
    <row r="10" ht="18" customHeight="1">
      <c r="A10" s="39" t="n">
        <v>2</v>
      </c>
      <c r="B10" s="40" t="inlineStr">
        <is>
          <t>PromoteHeaders</t>
        </is>
      </c>
      <c r="C10" s="40" t="inlineStr">
        <is>
          <t>Table.PromoteHeaders()</t>
        </is>
      </c>
      <c r="D10" s="40" t="inlineStr">
        <is>
          <t>Use first row as column names</t>
        </is>
      </c>
      <c r="E10" s="40" t="inlineStr">
        <is>
          <t>Schema definition</t>
        </is>
      </c>
    </row>
    <row r="11" ht="18" customHeight="1">
      <c r="A11" s="37" t="n">
        <v>3</v>
      </c>
      <c r="B11" s="38" t="inlineStr">
        <is>
          <t>ChangeTypes</t>
        </is>
      </c>
      <c r="C11" s="38" t="inlineStr">
        <is>
          <t>Table.TransformColumnTypes()</t>
        </is>
      </c>
      <c r="D11" s="38" t="inlineStr">
        <is>
          <t>Cast Order Date to date, Sales/Profit to decimal</t>
        </is>
      </c>
      <c r="E11" s="38" t="inlineStr">
        <is>
          <t>Data type enforcement</t>
        </is>
      </c>
    </row>
    <row r="12" ht="18" customHeight="1">
      <c r="A12" s="39" t="n">
        <v>4</v>
      </c>
      <c r="B12" s="40" t="inlineStr">
        <is>
          <t>FilterBlanks</t>
        </is>
      </c>
      <c r="C12" s="40" t="inlineStr">
        <is>
          <t>Table.SelectRows()</t>
        </is>
      </c>
      <c r="D12" s="40" t="inlineStr">
        <is>
          <t>Remove rows where Order ID is null</t>
        </is>
      </c>
      <c r="E12" s="40" t="inlineStr">
        <is>
          <t>Data quality</t>
        </is>
      </c>
    </row>
    <row r="13" ht="18" customHeight="1">
      <c r="A13" s="37" t="n">
        <v>5</v>
      </c>
      <c r="B13" s="38" t="inlineStr">
        <is>
          <t>AddOrderYear</t>
        </is>
      </c>
      <c r="C13" s="38" t="inlineStr">
        <is>
          <t>Table.AddColumn()</t>
        </is>
      </c>
      <c r="D13" s="38" t="inlineStr">
        <is>
          <t>Extract year from Order Date → [Order Year]</t>
        </is>
      </c>
      <c r="E13" s="38" t="inlineStr">
        <is>
          <t>Feature engineering</t>
        </is>
      </c>
    </row>
    <row r="14" ht="18" customHeight="1">
      <c r="A14" s="39" t="n">
        <v>6</v>
      </c>
      <c r="B14" s="40" t="inlineStr">
        <is>
          <t>AddOrderMonth</t>
        </is>
      </c>
      <c r="C14" s="40" t="inlineStr">
        <is>
          <t>Table.AddColumn()</t>
        </is>
      </c>
      <c r="D14" s="40" t="inlineStr">
        <is>
          <t>Extract month number → [Order Month]</t>
        </is>
      </c>
      <c r="E14" s="40" t="inlineStr">
        <is>
          <t>Feature engineering</t>
        </is>
      </c>
    </row>
    <row r="15" ht="18" customHeight="1">
      <c r="A15" s="37" t="n">
        <v>7</v>
      </c>
      <c r="B15" s="38" t="inlineStr">
        <is>
          <t>AddMarginPct</t>
        </is>
      </c>
      <c r="C15" s="38" t="inlineStr">
        <is>
          <t>Table.AddColumn()</t>
        </is>
      </c>
      <c r="D15" s="38">
        <f> [Profit] / [Sales] → [Margin %]</f>
        <v/>
      </c>
      <c r="E15" s="38" t="inlineStr">
        <is>
          <t>Derived metric</t>
        </is>
      </c>
    </row>
    <row r="16" ht="18" customHeight="1">
      <c r="A16" s="39" t="n">
        <v>8</v>
      </c>
      <c r="B16" s="40" t="inlineStr">
        <is>
          <t>AddDiscountBand</t>
        </is>
      </c>
      <c r="C16" s="40" t="inlineStr">
        <is>
          <t>Table.AddColumn()</t>
        </is>
      </c>
      <c r="D16" s="40" t="inlineStr">
        <is>
          <t>Bucket Discount into 0%, 1-10%, 11-20%, 21%+</t>
        </is>
      </c>
      <c r="E16" s="40" t="inlineStr">
        <is>
          <t>Segmentation</t>
        </is>
      </c>
    </row>
    <row r="17" ht="18" customHeight="1">
      <c r="A17" s="37" t="n">
        <v>9</v>
      </c>
      <c r="B17" s="38" t="inlineStr">
        <is>
          <t>ReplaceNulls</t>
        </is>
      </c>
      <c r="C17" s="38" t="inlineStr">
        <is>
          <t>Table.FillDown()</t>
        </is>
      </c>
      <c r="D17" s="38" t="inlineStr">
        <is>
          <t>Fill nulls in Ship Mode with prior value</t>
        </is>
      </c>
      <c r="E17" s="38" t="inlineStr">
        <is>
          <t>Data imputation</t>
        </is>
      </c>
    </row>
    <row r="18" ht="18" customHeight="1">
      <c r="A18" s="39" t="n">
        <v>10</v>
      </c>
      <c r="B18" s="40" t="inlineStr">
        <is>
          <t>ReorderCols</t>
        </is>
      </c>
      <c r="C18" s="40" t="inlineStr">
        <is>
          <t>Table.ReorderColumns()</t>
        </is>
      </c>
      <c r="D18" s="40" t="inlineStr">
        <is>
          <t>Move key columns to front</t>
        </is>
      </c>
      <c r="E18" s="40" t="inlineStr">
        <is>
          <t>UX / readability</t>
        </is>
      </c>
    </row>
    <row r="20" ht="12" customHeight="1"/>
    <row r="21">
      <c r="A21" s="18" t="inlineStr">
        <is>
          <t>Sample M Code — Add Margin % Column</t>
        </is>
      </c>
    </row>
    <row r="22" ht="130" customHeight="1">
      <c r="A22" s="41" t="inlineStr">
        <is>
          <t>let
    Source = Csv.Document(File.Contents("superstore.csv"), [Delimiter=","]),
    PromotedHeaders = Table.PromoteHeaders(Source),
    ChangedTypes = Table.TransformColumnTypes(PromotedHeaders, {
        {"Sales", type number}, {"Profit", type number},
        {"Order Date", type date}
    }),
    AddMargin = Table.AddColumn(ChangedTypes, "Margin %",
        each if [Sales] = 0 then null
        else [Profit] / [Sales],
        type number)
in
    AddMargin</t>
        </is>
      </c>
    </row>
    <row r="23"/>
    <row r="24"/>
    <row r="25"/>
    <row r="26"/>
    <row r="27"/>
    <row r="28"/>
    <row r="29"/>
    <row r="30"/>
  </sheetData>
  <mergeCells count="2">
    <mergeCell ref="A22:G3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2026-05-27T00:47:33Z</dcterms:created>
  <dcterms:modified xmlns:dcterms="http://purl.org/dc/terms/" xmlns:xsi="http://www.w3.org/2001/XMLSchema-instance" xsi:type="dcterms:W3CDTF">2026-05-27T00:47:34Z</dcterms:modified>
</cp:coreProperties>
</file>